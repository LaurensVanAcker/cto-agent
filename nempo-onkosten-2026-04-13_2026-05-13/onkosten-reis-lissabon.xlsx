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nkosten reis Lissab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<sst xmlns="http://schemas.openxmlformats.org/spreadsheetml/2006/main" count="227" uniqueCount="117">
  <si>
    <t xml:space="preserve">Datum</t>
  </si>
  <si>
    <t xml:space="preserve">Tijd</t>
  </si>
  <si>
    <t xml:space="preserve">Type</t>
  </si>
  <si>
    <t xml:space="preserve">Leverancier</t>
  </si>
  <si>
    <t xml:space="preserve">Beschrijving</t>
  </si>
  <si>
    <t xml:space="preserve">Bedrag (EUR)</t>
  </si>
  <si>
    <t xml:space="preserve">BTW%</t>
  </si>
  <si>
    <t xml:space="preserve">BTW (EUR)</t>
  </si>
  <si>
    <t xml:space="preserve">Excl BTW (EUR)</t>
  </si>
  <si>
    <t xml:space="preserve">% BOEMM</t>
  </si>
  <si>
    <t xml:space="preserve">% Branko</t>
  </si>
  <si>
    <t xml:space="preserve">% Laurens</t>
  </si>
  <si>
    <t xml:space="preserve">€ BOEMM</t>
  </si>
  <si>
    <t xml:space="preserve">€ Branko</t>
  </si>
  <si>
    <t xml:space="preserve">€ Laurens</t>
  </si>
  <si>
    <t xml:space="preserve">Betaald door</t>
  </si>
  <si>
    <t xml:space="preserve">Toelichting</t>
  </si>
  <si>
    <t xml:space="preserve">Bestand</t>
  </si>
  <si>
    <t xml:space="preserve">2026-04-25</t>
  </si>
  <si>
    <t xml:space="preserve">—</t>
  </si>
  <si>
    <t xml:space="preserve">Bus</t>
  </si>
  <si>
    <t xml:space="preserve">Flibco</t>
  </si>
  <si>
    <t xml:space="preserve">Gent → Charleroi Airport (2 zit.)</t>
  </si>
  <si>
    <t xml:space="preserve">Nempo</t>
  </si>
  <si>
    <t xml:space="preserve">Heenreis luchthaven, 2 zit. (Laurens+Branko); ev. 50% Branko?</t>
  </si>
  <si>
    <t xml:space="preserve">bus/2026-04-24_flibco_gent-charleroi-retour_97.60eur.pdf</t>
  </si>
  <si>
    <t xml:space="preserve">2026-05-03</t>
  </si>
  <si>
    <t xml:space="preserve">Charleroi Airport → Gent (2 zit.)</t>
  </si>
  <si>
    <t xml:space="preserve">Terugreis luchthaven, 2 zit.</t>
  </si>
  <si>
    <t xml:space="preserve">Vlucht</t>
  </si>
  <si>
    <t xml:space="preserve">Ryanair</t>
  </si>
  <si>
    <t xml:space="preserve">Charleroi → Lisbon (heen)</t>
  </si>
  <si>
    <t xml:space="preserve">BOEMM</t>
  </si>
  <si>
    <t xml:space="preserve">Bedrag aanvullen uit Ryanair-app</t>
  </si>
  <si>
    <t xml:space="preserve">Lisbon → Charleroi (terug)</t>
  </si>
  <si>
    <t xml:space="preserve">Hotel</t>
  </si>
  <si>
    <t xml:space="preserve">Limehome</t>
  </si>
  <si>
    <t xml:space="preserve">Limehome Lisbon Saldanha (8 nachten)</t>
  </si>
  <si>
    <t xml:space="preserve">Factuur op BOEMM (BTW BE0678662280)</t>
  </si>
  <si>
    <t xml:space="preserve">hotel/2026-04-25_2026-05-03_limehome-lisbon-saldanha_1033.92eur.pdf</t>
  </si>
  <si>
    <t xml:space="preserve">18:42</t>
  </si>
  <si>
    <t xml:space="preserve">Uber</t>
  </si>
  <si>
    <t xml:space="preserve">Aeroporto Lisboa → Defensores (van luchthaven)</t>
  </si>
  <si>
    <t xml:space="preserve">Privé</t>
  </si>
  <si>
    <t xml:space="preserve">Privé Beobank MC via PayPal</t>
  </si>
  <si>
    <t xml:space="preserve">uber/2026-04-25_1842_van-luchthaven-naar-defensores_8.99eur.pdf</t>
  </si>
  <si>
    <t xml:space="preserve">22:08</t>
  </si>
  <si>
    <t xml:space="preserve">Avondje uit</t>
  </si>
  <si>
    <t xml:space="preserve">uber/2026-04-25_2208_defensores_5.95eur.pdf</t>
  </si>
  <si>
    <t xml:space="preserve">2026-04-26</t>
  </si>
  <si>
    <t xml:space="preserve">19:28</t>
  </si>
  <si>
    <t xml:space="preserve">Lisboa Comedy Club</t>
  </si>
  <si>
    <t xml:space="preserve">uber/2026-04-26_1928_lisboa-comedy-club_4.93eur.pdf</t>
  </si>
  <si>
    <t xml:space="preserve">2026-04-27</t>
  </si>
  <si>
    <t xml:space="preserve">20:49</t>
  </si>
  <si>
    <t xml:space="preserve">Trombeta Bath</t>
  </si>
  <si>
    <t xml:space="preserve">uber/2026-04-27_2049_trombeta-bath_4.94eur.pdf</t>
  </si>
  <si>
    <t xml:space="preserve">2026-04-28</t>
  </si>
  <si>
    <t xml:space="preserve">00:11</t>
  </si>
  <si>
    <t xml:space="preserve">uber/2026-04-28_0011_limehome_4.99eur.pdf</t>
  </si>
  <si>
    <t xml:space="preserve">19:16</t>
  </si>
  <si>
    <t xml:space="preserve">Noobai - Rooftop Bar (dinsdagavond)</t>
  </si>
  <si>
    <t xml:space="preserve">Dinsdagavond; Privé Beobank MC</t>
  </si>
  <si>
    <t xml:space="preserve">uber/2026-04-28_1916_noobai_6.98eur.pdf</t>
  </si>
  <si>
    <t xml:space="preserve">22:22</t>
  </si>
  <si>
    <t xml:space="preserve">Limehome (terug van dinsdagavond)</t>
  </si>
  <si>
    <t xml:space="preserve">Terug van dinsdagavond — check graag; Privé Beobank MC</t>
  </si>
  <si>
    <t xml:space="preserve">uber/2026-04-28_2222_limehome_4.94eur.pdf</t>
  </si>
  <si>
    <t xml:space="preserve">2026-04-29</t>
  </si>
  <si>
    <t xml:space="preserve">14:06</t>
  </si>
  <si>
    <t xml:space="preserve">uber/2026-04-29_1406_limehome_4.95eur.pdf</t>
  </si>
  <si>
    <t xml:space="preserve">23:22</t>
  </si>
  <si>
    <t xml:space="preserve">uber/2026-04-29_2322_limehome_4.98eur.pdf</t>
  </si>
  <si>
    <t xml:space="preserve">2026-05-01</t>
  </si>
  <si>
    <t xml:space="preserve">03:30</t>
  </si>
  <si>
    <t xml:space="preserve">uber/2026-05-01_0330_limehome_9.99eur.pdf</t>
  </si>
  <si>
    <t xml:space="preserve">09:24</t>
  </si>
  <si>
    <t xml:space="preserve">Oceanário de Lisboa</t>
  </si>
  <si>
    <t xml:space="preserve">uber/2026-05-01_0924_oceanario_7.93eur.pdf</t>
  </si>
  <si>
    <t xml:space="preserve">12:03</t>
  </si>
  <si>
    <t xml:space="preserve">uber/2026-05-01_1203_limehome_6.93eur.pdf</t>
  </si>
  <si>
    <t xml:space="preserve">15:23</t>
  </si>
  <si>
    <t xml:space="preserve">Lisbon Earthquake 1755</t>
  </si>
  <si>
    <t xml:space="preserve">uber/2026-05-01_1523_lisbon-earthquake_7.95eur.pdf</t>
  </si>
  <si>
    <t xml:space="preserve">17:53</t>
  </si>
  <si>
    <t xml:space="preserve">uber/2026-05-01_1753_limehome_7.93eur.pdf</t>
  </si>
  <si>
    <t xml:space="preserve">2026-05-02</t>
  </si>
  <si>
    <t xml:space="preserve">13:29</t>
  </si>
  <si>
    <t xml:space="preserve">MAC/CCB Museum</t>
  </si>
  <si>
    <t xml:space="preserve">uber/2026-05-02_1329_mac-ccb_7.94eur.pdf</t>
  </si>
  <si>
    <t xml:space="preserve">18:53</t>
  </si>
  <si>
    <t xml:space="preserve">uber/2026-05-02_1853_limehome_7.93eur.pdf</t>
  </si>
  <si>
    <t xml:space="preserve">19:52</t>
  </si>
  <si>
    <t xml:space="preserve">Escape Rooms - Santa Clara</t>
  </si>
  <si>
    <t xml:space="preserve">uber/2026-05-02_1952_escape-rooms_5.13eur.pdf</t>
  </si>
  <si>
    <t xml:space="preserve">03:15</t>
  </si>
  <si>
    <t xml:space="preserve">uber/2026-05-03_0315_limehome_8.94eur.pdf</t>
  </si>
  <si>
    <t xml:space="preserve">09:10</t>
  </si>
  <si>
    <t xml:space="preserve">Defensores → Aeroporto Lisboa (naar luchthaven)</t>
  </si>
  <si>
    <t xml:space="preserve">Naar luchthaven; Privé Beobank MC</t>
  </si>
  <si>
    <t xml:space="preserve">uber/2026-05-03_0910_naar-luchthaven_8.95eur.pdf</t>
  </si>
  <si>
    <t xml:space="preserve">TOTAAL</t>
  </si>
  <si>
    <t xml:space="preserve">Per betaler (bedrag)</t>
  </si>
  <si>
    <t xml:space="preserve">Afrekening</t>
  </si>
  <si>
    <t xml:space="preserve">BOEMM → Privé (Laurens)</t>
  </si>
  <si>
    <t xml:space="preserve">BOEMM → Nempo</t>
  </si>
  <si>
    <t xml:space="preserve">Branko → BOEMM</t>
  </si>
  <si>
    <t xml:space="preserve">Branko → Nempo</t>
  </si>
  <si>
    <t xml:space="preserve">Branko → Privé (Laurens)</t>
  </si>
  <si>
    <t xml:space="preserve">Notes:</t>
  </si>
  <si>
    <t xml:space="preserve">• Blauwe cellen = invoer; zwarte cellen = formules.</t>
  </si>
  <si>
    <t xml:space="preserve">• Vul je % BOEMM en % Branko per lijn aan (kolommen J en K). % Laurens = rest.</t>
  </si>
  <si>
    <t xml:space="preserve">• € BOEMM / € Branko / € Laurens worden automatisch berekend.</t>
  </si>
  <si>
    <t xml:space="preserve">• Gele cellen = nog aan te vullen (Ryanair-bedragen).</t>
  </si>
  <si>
    <t xml:space="preserve">• Afrekening: hoeveel BOEMM moet terugbetalen aan privé/Nempo, en hoeveel Branko aan wie.</t>
  </si>
  <si>
    <t xml:space="preserve">• Apr 28 22:22 Limehome staat op 100% BOEMM (terug van dinsdagavond) — check graag.</t>
  </si>
  <si>
    <t xml:space="preserve">• Vlucht default 50% BOEMM / 50% Branko — pas aan na invullen bedrag.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</si>
</sst>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€#,##0.00"/>
    <numFmt numFmtId="166" formatCode="0.0%"/>
    <numFmt numFmtId="167" formatCode="0%;\(0%\);\-"/>
    <numFmt numFmtId="168" formatCode="\€#,##0.00;&quot;(€&quot;#,##0.0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0070C0"/>
      <name val="Arial"/>
      <family val="0"/>
      <charset val="1"/>
    </font>
    <font>
      <b val="true"/>
      <sz val="11"/>
      <name val="Arial"/>
      <family val="0"/>
      <charset val="1"/>
    </font>
    <font>
      <b val="true"/>
      <i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E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EEBF7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38"/>
    <col collapsed="false" customWidth="true" hidden="false" outlineLevel="0" max="6" min="6" style="0" width="13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2" min="10" style="0" width="9"/>
    <col collapsed="false" customWidth="true" hidden="false" outlineLevel="0" max="15" min="13" style="0" width="12"/>
    <col collapsed="false" customWidth="true" hidden="false" outlineLevel="0" max="16" min="16" style="0" width="14"/>
    <col collapsed="false" customWidth="true" hidden="false" outlineLevel="0" max="17" min="17" style="0" width="40"/>
    <col collapsed="false" customWidth="true" hidden="false" outlineLevel="0" max="18" min="18" style="0" width="60"/>
  </cols>
  <sheetData>
    <row r="1" customFormat="false" ht="37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3" t="n">
        <v>50</v>
      </c>
      <c r="G2" s="4" t="n">
        <v>0.06</v>
      </c>
      <c r="H2" s="5" t="n">
        <f aca="false">IFERROR(F2-I2,0)</f>
        <v>2.83018867924528</v>
      </c>
      <c r="I2" s="5" t="n">
        <f aca="false">IFERROR(F2/(1+G2),0)</f>
        <v>47.1698113207547</v>
      </c>
      <c r="J2" s="6" t="n">
        <v>1</v>
      </c>
      <c r="K2" s="7" t="n">
        <v>0</v>
      </c>
      <c r="L2" s="8" t="n">
        <f aca="false">1-J2-K2</f>
        <v>0</v>
      </c>
      <c r="M2" s="9" t="n">
        <f aca="false">IFERROR(F2*J2,0)</f>
        <v>50</v>
      </c>
      <c r="N2" s="10" t="n">
        <f aca="false">IFERROR(F2*K2,0)</f>
        <v>0</v>
      </c>
      <c r="O2" s="11" t="n">
        <f aca="false">IFERROR(F2*L2,0)</f>
        <v>0</v>
      </c>
      <c r="P2" s="12" t="s">
        <v>23</v>
      </c>
      <c r="Q2" s="2" t="s">
        <v>24</v>
      </c>
      <c r="R2" s="13" t="s">
        <v>25</v>
      </c>
    </row>
    <row r="3" customFormat="false" ht="15" hidden="false" customHeight="false" outlineLevel="0" collapsed="false">
      <c r="A3" s="2" t="s">
        <v>26</v>
      </c>
      <c r="B3" s="2" t="s">
        <v>19</v>
      </c>
      <c r="C3" s="2" t="s">
        <v>20</v>
      </c>
      <c r="D3" s="2" t="s">
        <v>21</v>
      </c>
      <c r="E3" s="2" t="s">
        <v>27</v>
      </c>
      <c r="F3" s="3" t="n">
        <v>47.6</v>
      </c>
      <c r="G3" s="4" t="n">
        <v>0.06</v>
      </c>
      <c r="H3" s="5" t="n">
        <f aca="false">IFERROR(F3-I3,0)</f>
        <v>2.69433962264151</v>
      </c>
      <c r="I3" s="5" t="n">
        <f aca="false">IFERROR(F3/(1+G3),0)</f>
        <v>44.9056603773585</v>
      </c>
      <c r="J3" s="6" t="n">
        <v>1</v>
      </c>
      <c r="K3" s="7" t="n">
        <v>0</v>
      </c>
      <c r="L3" s="8" t="n">
        <f aca="false">1-J3-K3</f>
        <v>0</v>
      </c>
      <c r="M3" s="9" t="n">
        <f aca="false">IFERROR(F3*J3,0)</f>
        <v>47.6</v>
      </c>
      <c r="N3" s="10" t="n">
        <f aca="false">IFERROR(F3*K3,0)</f>
        <v>0</v>
      </c>
      <c r="O3" s="11" t="n">
        <f aca="false">IFERROR(F3*L3,0)</f>
        <v>0</v>
      </c>
      <c r="P3" s="12" t="s">
        <v>23</v>
      </c>
      <c r="Q3" s="2" t="s">
        <v>28</v>
      </c>
      <c r="R3" s="13" t="s">
        <v>25</v>
      </c>
    </row>
    <row r="4" customFormat="false" ht="15" hidden="false" customHeight="false" outlineLevel="0" collapsed="false">
      <c r="A4" s="2" t="s">
        <v>18</v>
      </c>
      <c r="B4" s="2" t="s">
        <v>19</v>
      </c>
      <c r="C4" s="2" t="s">
        <v>29</v>
      </c>
      <c r="D4" s="2" t="s">
        <v>30</v>
      </c>
      <c r="E4" s="2" t="s">
        <v>31</v>
      </c>
      <c r="F4" s="14"/>
      <c r="G4" s="4" t="n">
        <v>0</v>
      </c>
      <c r="H4" s="5" t="n">
        <f aca="false">IFERROR(F4-I4,0)</f>
        <v>0</v>
      </c>
      <c r="I4" s="5" t="n">
        <f aca="false">IFERROR(F4/(1+G4),0)</f>
        <v>0</v>
      </c>
      <c r="J4" s="6" t="n">
        <v>0.5</v>
      </c>
      <c r="K4" s="7" t="n">
        <v>0.5</v>
      </c>
      <c r="L4" s="8" t="n">
        <f aca="false">1-J4-K4</f>
        <v>0</v>
      </c>
      <c r="M4" s="9" t="n">
        <f aca="false">IFERROR(F4*J4,0)</f>
        <v>0</v>
      </c>
      <c r="N4" s="10" t="n">
        <f aca="false">IFERROR(F4*K4,0)</f>
        <v>0</v>
      </c>
      <c r="O4" s="11" t="n">
        <f aca="false">IFERROR(F4*L4,0)</f>
        <v>0</v>
      </c>
      <c r="P4" s="15" t="s">
        <v>32</v>
      </c>
      <c r="Q4" s="2" t="s">
        <v>33</v>
      </c>
      <c r="R4" s="13"/>
    </row>
    <row r="5" customFormat="false" ht="15" hidden="false" customHeight="false" outlineLevel="0" collapsed="false">
      <c r="A5" s="2" t="s">
        <v>26</v>
      </c>
      <c r="B5" s="2" t="s">
        <v>19</v>
      </c>
      <c r="C5" s="2" t="s">
        <v>29</v>
      </c>
      <c r="D5" s="2" t="s">
        <v>30</v>
      </c>
      <c r="E5" s="2" t="s">
        <v>34</v>
      </c>
      <c r="F5" s="14"/>
      <c r="G5" s="4" t="n">
        <v>0</v>
      </c>
      <c r="H5" s="5" t="n">
        <f aca="false">IFERROR(F5-I5,0)</f>
        <v>0</v>
      </c>
      <c r="I5" s="5" t="n">
        <f aca="false">IFERROR(F5/(1+G5),0)</f>
        <v>0</v>
      </c>
      <c r="J5" s="6" t="n">
        <v>0.5</v>
      </c>
      <c r="K5" s="7" t="n">
        <v>0.5</v>
      </c>
      <c r="L5" s="8" t="n">
        <f aca="false">1-J5-K5</f>
        <v>0</v>
      </c>
      <c r="M5" s="9" t="n">
        <f aca="false">IFERROR(F5*J5,0)</f>
        <v>0</v>
      </c>
      <c r="N5" s="10" t="n">
        <f aca="false">IFERROR(F5*K5,0)</f>
        <v>0</v>
      </c>
      <c r="O5" s="11" t="n">
        <f aca="false">IFERROR(F5*L5,0)</f>
        <v>0</v>
      </c>
      <c r="P5" s="15" t="s">
        <v>32</v>
      </c>
      <c r="Q5" s="2" t="s">
        <v>33</v>
      </c>
      <c r="R5" s="13"/>
    </row>
    <row r="6" customFormat="false" ht="15" hidden="false" customHeight="false" outlineLevel="0" collapsed="false">
      <c r="A6" s="2" t="s">
        <v>18</v>
      </c>
      <c r="B6" s="2" t="s">
        <v>19</v>
      </c>
      <c r="C6" s="2" t="s">
        <v>35</v>
      </c>
      <c r="D6" s="2" t="s">
        <v>36</v>
      </c>
      <c r="E6" s="2" t="s">
        <v>37</v>
      </c>
      <c r="F6" s="3" t="n">
        <v>1033.92</v>
      </c>
      <c r="G6" s="16"/>
      <c r="H6" s="5" t="n">
        <f aca="false">IFERROR(F6-I6,0)</f>
        <v>0</v>
      </c>
      <c r="I6" s="5" t="n">
        <f aca="false">IFERROR(F6/(1+G6),0)</f>
        <v>1033.92</v>
      </c>
      <c r="J6" s="6" t="n">
        <v>1</v>
      </c>
      <c r="K6" s="7" t="n">
        <v>0</v>
      </c>
      <c r="L6" s="8" t="n">
        <f aca="false">1-J6-K6</f>
        <v>0</v>
      </c>
      <c r="M6" s="9" t="n">
        <f aca="false">IFERROR(F6*J6,0)</f>
        <v>1033.92</v>
      </c>
      <c r="N6" s="10" t="n">
        <f aca="false">IFERROR(F6*K6,0)</f>
        <v>0</v>
      </c>
      <c r="O6" s="11" t="n">
        <f aca="false">IFERROR(F6*L6,0)</f>
        <v>0</v>
      </c>
      <c r="P6" s="15" t="s">
        <v>32</v>
      </c>
      <c r="Q6" s="2" t="s">
        <v>38</v>
      </c>
      <c r="R6" s="13" t="s">
        <v>39</v>
      </c>
    </row>
    <row r="7" customFormat="false" ht="15" hidden="false" customHeight="false" outlineLevel="0" collapsed="false">
      <c r="A7" s="2" t="s">
        <v>18</v>
      </c>
      <c r="B7" s="2" t="s">
        <v>40</v>
      </c>
      <c r="C7" s="2" t="s">
        <v>41</v>
      </c>
      <c r="D7" s="2" t="s">
        <v>41</v>
      </c>
      <c r="E7" s="2" t="s">
        <v>42</v>
      </c>
      <c r="F7" s="3" t="n">
        <v>8.99</v>
      </c>
      <c r="G7" s="4" t="n">
        <v>0.06</v>
      </c>
      <c r="H7" s="5" t="n">
        <f aca="false">IFERROR(F7-I7,0)</f>
        <v>0.508867924528303</v>
      </c>
      <c r="I7" s="5" t="n">
        <f aca="false">IFERROR(F7/(1+G7),0)</f>
        <v>8.4811320754717</v>
      </c>
      <c r="J7" s="6" t="n">
        <v>1</v>
      </c>
      <c r="K7" s="7" t="n">
        <v>0</v>
      </c>
      <c r="L7" s="8" t="n">
        <f aca="false">1-J7-K7</f>
        <v>0</v>
      </c>
      <c r="M7" s="9" t="n">
        <f aca="false">IFERROR(F7*J7,0)</f>
        <v>8.99</v>
      </c>
      <c r="N7" s="10" t="n">
        <f aca="false">IFERROR(F7*K7,0)</f>
        <v>0</v>
      </c>
      <c r="O7" s="11" t="n">
        <f aca="false">IFERROR(F7*L7,0)</f>
        <v>0</v>
      </c>
      <c r="P7" s="17" t="s">
        <v>43</v>
      </c>
      <c r="Q7" s="2" t="s">
        <v>44</v>
      </c>
      <c r="R7" s="13" t="s">
        <v>45</v>
      </c>
    </row>
    <row r="8" customFormat="false" ht="15" hidden="false" customHeight="false" outlineLevel="0" collapsed="false">
      <c r="A8" s="2" t="s">
        <v>18</v>
      </c>
      <c r="B8" s="2" t="s">
        <v>46</v>
      </c>
      <c r="C8" s="2" t="s">
        <v>41</v>
      </c>
      <c r="D8" s="2" t="s">
        <v>41</v>
      </c>
      <c r="E8" s="2" t="s">
        <v>47</v>
      </c>
      <c r="F8" s="3" t="n">
        <v>5.95</v>
      </c>
      <c r="G8" s="4" t="n">
        <v>0.06</v>
      </c>
      <c r="H8" s="5" t="n">
        <f aca="false">IFERROR(F8-I8,0)</f>
        <v>0.336792452830189</v>
      </c>
      <c r="I8" s="5" t="n">
        <f aca="false">IFERROR(F8/(1+G8),0)</f>
        <v>5.61320754716981</v>
      </c>
      <c r="J8" s="6" t="n">
        <v>0</v>
      </c>
      <c r="K8" s="7" t="n">
        <v>0.5</v>
      </c>
      <c r="L8" s="8" t="n">
        <f aca="false">1-J8-K8</f>
        <v>0.5</v>
      </c>
      <c r="M8" s="9" t="n">
        <f aca="false">IFERROR(F8*J8,0)</f>
        <v>0</v>
      </c>
      <c r="N8" s="10" t="n">
        <f aca="false">IFERROR(F8*K8,0)</f>
        <v>2.975</v>
      </c>
      <c r="O8" s="11" t="n">
        <f aca="false">IFERROR(F8*L8,0)</f>
        <v>2.975</v>
      </c>
      <c r="P8" s="17" t="s">
        <v>43</v>
      </c>
      <c r="Q8" s="2" t="s">
        <v>44</v>
      </c>
      <c r="R8" s="13" t="s">
        <v>48</v>
      </c>
    </row>
    <row r="9" customFormat="false" ht="15" hidden="false" customHeight="false" outlineLevel="0" collapsed="false">
      <c r="A9" s="2" t="s">
        <v>49</v>
      </c>
      <c r="B9" s="2" t="s">
        <v>50</v>
      </c>
      <c r="C9" s="2" t="s">
        <v>41</v>
      </c>
      <c r="D9" s="2" t="s">
        <v>41</v>
      </c>
      <c r="E9" s="2" t="s">
        <v>51</v>
      </c>
      <c r="F9" s="3" t="n">
        <v>4.93</v>
      </c>
      <c r="G9" s="4" t="n">
        <v>0.06</v>
      </c>
      <c r="H9" s="5" t="n">
        <f aca="false">IFERROR(F9-I9,0)</f>
        <v>0.279056603773586</v>
      </c>
      <c r="I9" s="5" t="n">
        <f aca="false">IFERROR(F9/(1+G9),0)</f>
        <v>4.65094339622641</v>
      </c>
      <c r="J9" s="6" t="n">
        <v>0</v>
      </c>
      <c r="K9" s="7" t="n">
        <v>0.5</v>
      </c>
      <c r="L9" s="8" t="n">
        <f aca="false">1-J9-K9</f>
        <v>0.5</v>
      </c>
      <c r="M9" s="9" t="n">
        <f aca="false">IFERROR(F9*J9,0)</f>
        <v>0</v>
      </c>
      <c r="N9" s="10" t="n">
        <f aca="false">IFERROR(F9*K9,0)</f>
        <v>2.465</v>
      </c>
      <c r="O9" s="11" t="n">
        <f aca="false">IFERROR(F9*L9,0)</f>
        <v>2.465</v>
      </c>
      <c r="P9" s="17" t="s">
        <v>43</v>
      </c>
      <c r="Q9" s="2" t="s">
        <v>44</v>
      </c>
      <c r="R9" s="13" t="s">
        <v>52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41</v>
      </c>
      <c r="D10" s="2" t="s">
        <v>41</v>
      </c>
      <c r="E10" s="2" t="s">
        <v>55</v>
      </c>
      <c r="F10" s="3" t="n">
        <v>4.94</v>
      </c>
      <c r="G10" s="4" t="n">
        <v>0.06</v>
      </c>
      <c r="H10" s="5" t="n">
        <f aca="false">IFERROR(F10-I10,0)</f>
        <v>0.279622641509434</v>
      </c>
      <c r="I10" s="5" t="n">
        <f aca="false">IFERROR(F10/(1+G10),0)</f>
        <v>4.66037735849057</v>
      </c>
      <c r="J10" s="6" t="n">
        <v>0</v>
      </c>
      <c r="K10" s="7" t="n">
        <v>0.5</v>
      </c>
      <c r="L10" s="8" t="n">
        <f aca="false">1-J10-K10</f>
        <v>0.5</v>
      </c>
      <c r="M10" s="9" t="n">
        <f aca="false">IFERROR(F10*J10,0)</f>
        <v>0</v>
      </c>
      <c r="N10" s="10" t="n">
        <f aca="false">IFERROR(F10*K10,0)</f>
        <v>2.47</v>
      </c>
      <c r="O10" s="11" t="n">
        <f aca="false">IFERROR(F10*L10,0)</f>
        <v>2.47</v>
      </c>
      <c r="P10" s="17" t="s">
        <v>43</v>
      </c>
      <c r="Q10" s="2" t="s">
        <v>44</v>
      </c>
      <c r="R10" s="13" t="s">
        <v>56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41</v>
      </c>
      <c r="D11" s="2" t="s">
        <v>41</v>
      </c>
      <c r="E11" s="2" t="s">
        <v>36</v>
      </c>
      <c r="F11" s="3" t="n">
        <v>4.99</v>
      </c>
      <c r="G11" s="4" t="n">
        <v>0.06</v>
      </c>
      <c r="H11" s="5" t="n">
        <f aca="false">IFERROR(F11-I11,0)</f>
        <v>0.28245283018868</v>
      </c>
      <c r="I11" s="5" t="n">
        <f aca="false">IFERROR(F11/(1+G11),0)</f>
        <v>4.70754716981132</v>
      </c>
      <c r="J11" s="6" t="n">
        <v>0</v>
      </c>
      <c r="K11" s="7" t="n">
        <v>0.5</v>
      </c>
      <c r="L11" s="8" t="n">
        <f aca="false">1-J11-K11</f>
        <v>0.5</v>
      </c>
      <c r="M11" s="9" t="n">
        <f aca="false">IFERROR(F11*J11,0)</f>
        <v>0</v>
      </c>
      <c r="N11" s="10" t="n">
        <f aca="false">IFERROR(F11*K11,0)</f>
        <v>2.495</v>
      </c>
      <c r="O11" s="11" t="n">
        <f aca="false">IFERROR(F11*L11,0)</f>
        <v>2.495</v>
      </c>
      <c r="P11" s="17" t="s">
        <v>43</v>
      </c>
      <c r="Q11" s="2" t="s">
        <v>44</v>
      </c>
      <c r="R11" s="13" t="s">
        <v>59</v>
      </c>
    </row>
    <row r="12" customFormat="false" ht="15" hidden="false" customHeight="false" outlineLevel="0" collapsed="false">
      <c r="A12" s="2" t="s">
        <v>57</v>
      </c>
      <c r="B12" s="2" t="s">
        <v>60</v>
      </c>
      <c r="C12" s="2" t="s">
        <v>41</v>
      </c>
      <c r="D12" s="2" t="s">
        <v>41</v>
      </c>
      <c r="E12" s="2" t="s">
        <v>61</v>
      </c>
      <c r="F12" s="3" t="n">
        <v>6.98</v>
      </c>
      <c r="G12" s="4" t="n">
        <v>0.06</v>
      </c>
      <c r="H12" s="5" t="n">
        <f aca="false">IFERROR(F12-I12,0)</f>
        <v>0.395094339622642</v>
      </c>
      <c r="I12" s="5" t="n">
        <f aca="false">IFERROR(F12/(1+G12),0)</f>
        <v>6.58490566037736</v>
      </c>
      <c r="J12" s="6" t="n">
        <v>1</v>
      </c>
      <c r="K12" s="7" t="n">
        <v>0</v>
      </c>
      <c r="L12" s="8" t="n">
        <f aca="false">1-J12-K12</f>
        <v>0</v>
      </c>
      <c r="M12" s="9" t="n">
        <f aca="false">IFERROR(F12*J12,0)</f>
        <v>6.98</v>
      </c>
      <c r="N12" s="10" t="n">
        <f aca="false">IFERROR(F12*K12,0)</f>
        <v>0</v>
      </c>
      <c r="O12" s="11" t="n">
        <f aca="false">IFERROR(F12*L12,0)</f>
        <v>0</v>
      </c>
      <c r="P12" s="17" t="s">
        <v>43</v>
      </c>
      <c r="Q12" s="2" t="s">
        <v>62</v>
      </c>
      <c r="R12" s="13" t="s">
        <v>63</v>
      </c>
    </row>
    <row r="13" customFormat="false" ht="15" hidden="false" customHeight="false" outlineLevel="0" collapsed="false">
      <c r="A13" s="2" t="s">
        <v>57</v>
      </c>
      <c r="B13" s="2" t="s">
        <v>64</v>
      </c>
      <c r="C13" s="2" t="s">
        <v>41</v>
      </c>
      <c r="D13" s="2" t="s">
        <v>41</v>
      </c>
      <c r="E13" s="2" t="s">
        <v>65</v>
      </c>
      <c r="F13" s="3" t="n">
        <v>4.94</v>
      </c>
      <c r="G13" s="4" t="n">
        <v>0.06</v>
      </c>
      <c r="H13" s="5" t="n">
        <f aca="false">IFERROR(F13-I13,0)</f>
        <v>0.279622641509434</v>
      </c>
      <c r="I13" s="5" t="n">
        <f aca="false">IFERROR(F13/(1+G13),0)</f>
        <v>4.66037735849057</v>
      </c>
      <c r="J13" s="6" t="n">
        <v>1</v>
      </c>
      <c r="K13" s="7" t="n">
        <v>0</v>
      </c>
      <c r="L13" s="8" t="n">
        <f aca="false">1-J13-K13</f>
        <v>0</v>
      </c>
      <c r="M13" s="9" t="n">
        <f aca="false">IFERROR(F13*J13,0)</f>
        <v>4.94</v>
      </c>
      <c r="N13" s="10" t="n">
        <f aca="false">IFERROR(F13*K13,0)</f>
        <v>0</v>
      </c>
      <c r="O13" s="11" t="n">
        <f aca="false">IFERROR(F13*L13,0)</f>
        <v>0</v>
      </c>
      <c r="P13" s="17" t="s">
        <v>43</v>
      </c>
      <c r="Q13" s="2" t="s">
        <v>66</v>
      </c>
      <c r="R13" s="13" t="s">
        <v>67</v>
      </c>
    </row>
    <row r="14" customFormat="false" ht="15" hidden="false" customHeight="false" outlineLevel="0" collapsed="false">
      <c r="A14" s="2" t="s">
        <v>68</v>
      </c>
      <c r="B14" s="2" t="s">
        <v>69</v>
      </c>
      <c r="C14" s="2" t="s">
        <v>41</v>
      </c>
      <c r="D14" s="2" t="s">
        <v>41</v>
      </c>
      <c r="E14" s="2" t="s">
        <v>36</v>
      </c>
      <c r="F14" s="3" t="n">
        <v>4.95</v>
      </c>
      <c r="G14" s="4" t="n">
        <v>0.06</v>
      </c>
      <c r="H14" s="5" t="n">
        <f aca="false">IFERROR(F14-I14,0)</f>
        <v>0.280188679245283</v>
      </c>
      <c r="I14" s="5" t="n">
        <f aca="false">IFERROR(F14/(1+G14),0)</f>
        <v>4.66981132075472</v>
      </c>
      <c r="J14" s="6" t="n">
        <v>0</v>
      </c>
      <c r="K14" s="7" t="n">
        <v>0.5</v>
      </c>
      <c r="L14" s="8" t="n">
        <f aca="false">1-J14-K14</f>
        <v>0.5</v>
      </c>
      <c r="M14" s="9" t="n">
        <f aca="false">IFERROR(F14*J14,0)</f>
        <v>0</v>
      </c>
      <c r="N14" s="10" t="n">
        <f aca="false">IFERROR(F14*K14,0)</f>
        <v>2.475</v>
      </c>
      <c r="O14" s="11" t="n">
        <f aca="false">IFERROR(F14*L14,0)</f>
        <v>2.475</v>
      </c>
      <c r="P14" s="17" t="s">
        <v>43</v>
      </c>
      <c r="Q14" s="2" t="s">
        <v>44</v>
      </c>
      <c r="R14" s="13" t="s">
        <v>70</v>
      </c>
    </row>
    <row r="15" customFormat="false" ht="15" hidden="false" customHeight="false" outlineLevel="0" collapsed="false">
      <c r="A15" s="2" t="s">
        <v>68</v>
      </c>
      <c r="B15" s="2" t="s">
        <v>71</v>
      </c>
      <c r="C15" s="2" t="s">
        <v>41</v>
      </c>
      <c r="D15" s="2" t="s">
        <v>41</v>
      </c>
      <c r="E15" s="2" t="s">
        <v>36</v>
      </c>
      <c r="F15" s="3" t="n">
        <v>4.98</v>
      </c>
      <c r="G15" s="4" t="n">
        <v>0.06</v>
      </c>
      <c r="H15" s="5" t="n">
        <f aca="false">IFERROR(F15-I15,0)</f>
        <v>0.281886792452831</v>
      </c>
      <c r="I15" s="5" t="n">
        <f aca="false">IFERROR(F15/(1+G15),0)</f>
        <v>4.69811320754717</v>
      </c>
      <c r="J15" s="6" t="n">
        <v>0</v>
      </c>
      <c r="K15" s="7" t="n">
        <v>0.5</v>
      </c>
      <c r="L15" s="8" t="n">
        <f aca="false">1-J15-K15</f>
        <v>0.5</v>
      </c>
      <c r="M15" s="9" t="n">
        <f aca="false">IFERROR(F15*J15,0)</f>
        <v>0</v>
      </c>
      <c r="N15" s="10" t="n">
        <f aca="false">IFERROR(F15*K15,0)</f>
        <v>2.49</v>
      </c>
      <c r="O15" s="11" t="n">
        <f aca="false">IFERROR(F15*L15,0)</f>
        <v>2.49</v>
      </c>
      <c r="P15" s="17" t="s">
        <v>43</v>
      </c>
      <c r="Q15" s="2" t="s">
        <v>44</v>
      </c>
      <c r="R15" s="13" t="s">
        <v>72</v>
      </c>
    </row>
    <row r="16" customFormat="false" ht="15" hidden="false" customHeight="false" outlineLevel="0" collapsed="false">
      <c r="A16" s="2" t="s">
        <v>73</v>
      </c>
      <c r="B16" s="2" t="s">
        <v>74</v>
      </c>
      <c r="C16" s="2" t="s">
        <v>41</v>
      </c>
      <c r="D16" s="2" t="s">
        <v>41</v>
      </c>
      <c r="E16" s="2" t="s">
        <v>36</v>
      </c>
      <c r="F16" s="3" t="n">
        <v>9.99</v>
      </c>
      <c r="G16" s="4" t="n">
        <v>0.06</v>
      </c>
      <c r="H16" s="5" t="n">
        <f aca="false">IFERROR(F16-I16,0)</f>
        <v>0.565471698113209</v>
      </c>
      <c r="I16" s="5" t="n">
        <f aca="false">IFERROR(F16/(1+G16),0)</f>
        <v>9.42452830188679</v>
      </c>
      <c r="J16" s="6" t="n">
        <v>0</v>
      </c>
      <c r="K16" s="7" t="n">
        <v>0.5</v>
      </c>
      <c r="L16" s="8" t="n">
        <f aca="false">1-J16-K16</f>
        <v>0.5</v>
      </c>
      <c r="M16" s="9" t="n">
        <f aca="false">IFERROR(F16*J16,0)</f>
        <v>0</v>
      </c>
      <c r="N16" s="10" t="n">
        <f aca="false">IFERROR(F16*K16,0)</f>
        <v>4.995</v>
      </c>
      <c r="O16" s="11" t="n">
        <f aca="false">IFERROR(F16*L16,0)</f>
        <v>4.995</v>
      </c>
      <c r="P16" s="17" t="s">
        <v>43</v>
      </c>
      <c r="Q16" s="2" t="s">
        <v>44</v>
      </c>
      <c r="R16" s="13" t="s">
        <v>75</v>
      </c>
    </row>
    <row r="17" customFormat="false" ht="15" hidden="false" customHeight="false" outlineLevel="0" collapsed="false">
      <c r="A17" s="2" t="s">
        <v>73</v>
      </c>
      <c r="B17" s="2" t="s">
        <v>76</v>
      </c>
      <c r="C17" s="2" t="s">
        <v>41</v>
      </c>
      <c r="D17" s="2" t="s">
        <v>41</v>
      </c>
      <c r="E17" s="2" t="s">
        <v>77</v>
      </c>
      <c r="F17" s="3" t="n">
        <v>7.93</v>
      </c>
      <c r="G17" s="4" t="n">
        <v>0.06</v>
      </c>
      <c r="H17" s="5" t="n">
        <f aca="false">IFERROR(F17-I17,0)</f>
        <v>0.448867924528302</v>
      </c>
      <c r="I17" s="5" t="n">
        <f aca="false">IFERROR(F17/(1+G17),0)</f>
        <v>7.4811320754717</v>
      </c>
      <c r="J17" s="6" t="n">
        <v>0</v>
      </c>
      <c r="K17" s="7" t="n">
        <v>0.5</v>
      </c>
      <c r="L17" s="8" t="n">
        <f aca="false">1-J17-K17</f>
        <v>0.5</v>
      </c>
      <c r="M17" s="9" t="n">
        <f aca="false">IFERROR(F17*J17,0)</f>
        <v>0</v>
      </c>
      <c r="N17" s="10" t="n">
        <f aca="false">IFERROR(F17*K17,0)</f>
        <v>3.965</v>
      </c>
      <c r="O17" s="11" t="n">
        <f aca="false">IFERROR(F17*L17,0)</f>
        <v>3.965</v>
      </c>
      <c r="P17" s="17" t="s">
        <v>43</v>
      </c>
      <c r="Q17" s="2" t="s">
        <v>44</v>
      </c>
      <c r="R17" s="13" t="s">
        <v>78</v>
      </c>
    </row>
    <row r="18" customFormat="false" ht="15" hidden="false" customHeight="false" outlineLevel="0" collapsed="false">
      <c r="A18" s="2" t="s">
        <v>73</v>
      </c>
      <c r="B18" s="2" t="s">
        <v>79</v>
      </c>
      <c r="C18" s="2" t="s">
        <v>41</v>
      </c>
      <c r="D18" s="2" t="s">
        <v>41</v>
      </c>
      <c r="E18" s="2" t="s">
        <v>36</v>
      </c>
      <c r="F18" s="3" t="n">
        <v>6.93</v>
      </c>
      <c r="G18" s="4" t="n">
        <v>0.06</v>
      </c>
      <c r="H18" s="5" t="n">
        <f aca="false">IFERROR(F18-I18,0)</f>
        <v>0.392264150943396</v>
      </c>
      <c r="I18" s="5" t="n">
        <f aca="false">IFERROR(F18/(1+G18),0)</f>
        <v>6.5377358490566</v>
      </c>
      <c r="J18" s="6" t="n">
        <v>0</v>
      </c>
      <c r="K18" s="7" t="n">
        <v>0.5</v>
      </c>
      <c r="L18" s="8" t="n">
        <f aca="false">1-J18-K18</f>
        <v>0.5</v>
      </c>
      <c r="M18" s="9" t="n">
        <f aca="false">IFERROR(F18*J18,0)</f>
        <v>0</v>
      </c>
      <c r="N18" s="10" t="n">
        <f aca="false">IFERROR(F18*K18,0)</f>
        <v>3.465</v>
      </c>
      <c r="O18" s="11" t="n">
        <f aca="false">IFERROR(F18*L18,0)</f>
        <v>3.465</v>
      </c>
      <c r="P18" s="17" t="s">
        <v>43</v>
      </c>
      <c r="Q18" s="2" t="s">
        <v>44</v>
      </c>
      <c r="R18" s="13" t="s">
        <v>80</v>
      </c>
    </row>
    <row r="19" customFormat="false" ht="15" hidden="false" customHeight="false" outlineLevel="0" collapsed="false">
      <c r="A19" s="2" t="s">
        <v>73</v>
      </c>
      <c r="B19" s="2" t="s">
        <v>81</v>
      </c>
      <c r="C19" s="2" t="s">
        <v>41</v>
      </c>
      <c r="D19" s="2" t="s">
        <v>41</v>
      </c>
      <c r="E19" s="2" t="s">
        <v>82</v>
      </c>
      <c r="F19" s="3" t="n">
        <v>7.95</v>
      </c>
      <c r="G19" s="4" t="n">
        <v>0.06</v>
      </c>
      <c r="H19" s="5" t="n">
        <f aca="false">IFERROR(F19-I19,0)</f>
        <v>0.45</v>
      </c>
      <c r="I19" s="5" t="n">
        <f aca="false">IFERROR(F19/(1+G19),0)</f>
        <v>7.5</v>
      </c>
      <c r="J19" s="6" t="n">
        <v>0</v>
      </c>
      <c r="K19" s="7" t="n">
        <v>0.5</v>
      </c>
      <c r="L19" s="8" t="n">
        <f aca="false">1-J19-K19</f>
        <v>0.5</v>
      </c>
      <c r="M19" s="9" t="n">
        <f aca="false">IFERROR(F19*J19,0)</f>
        <v>0</v>
      </c>
      <c r="N19" s="10" t="n">
        <f aca="false">IFERROR(F19*K19,0)</f>
        <v>3.975</v>
      </c>
      <c r="O19" s="11" t="n">
        <f aca="false">IFERROR(F19*L19,0)</f>
        <v>3.975</v>
      </c>
      <c r="P19" s="17" t="s">
        <v>43</v>
      </c>
      <c r="Q19" s="2" t="s">
        <v>44</v>
      </c>
      <c r="R19" s="13" t="s">
        <v>83</v>
      </c>
    </row>
    <row r="20" customFormat="false" ht="15" hidden="false" customHeight="false" outlineLevel="0" collapsed="false">
      <c r="A20" s="2" t="s">
        <v>73</v>
      </c>
      <c r="B20" s="2" t="s">
        <v>84</v>
      </c>
      <c r="C20" s="2" t="s">
        <v>41</v>
      </c>
      <c r="D20" s="2" t="s">
        <v>41</v>
      </c>
      <c r="E20" s="2" t="s">
        <v>36</v>
      </c>
      <c r="F20" s="3" t="n">
        <v>7.93</v>
      </c>
      <c r="G20" s="4" t="n">
        <v>0.06</v>
      </c>
      <c r="H20" s="5" t="n">
        <f aca="false">IFERROR(F20-I20,0)</f>
        <v>0.448867924528302</v>
      </c>
      <c r="I20" s="5" t="n">
        <f aca="false">IFERROR(F20/(1+G20),0)</f>
        <v>7.4811320754717</v>
      </c>
      <c r="J20" s="6" t="n">
        <v>0</v>
      </c>
      <c r="K20" s="7" t="n">
        <v>0.5</v>
      </c>
      <c r="L20" s="8" t="n">
        <f aca="false">1-J20-K20</f>
        <v>0.5</v>
      </c>
      <c r="M20" s="9" t="n">
        <f aca="false">IFERROR(F20*J20,0)</f>
        <v>0</v>
      </c>
      <c r="N20" s="10" t="n">
        <f aca="false">IFERROR(F20*K20,0)</f>
        <v>3.965</v>
      </c>
      <c r="O20" s="11" t="n">
        <f aca="false">IFERROR(F20*L20,0)</f>
        <v>3.965</v>
      </c>
      <c r="P20" s="17" t="s">
        <v>43</v>
      </c>
      <c r="Q20" s="2" t="s">
        <v>44</v>
      </c>
      <c r="R20" s="13" t="s">
        <v>85</v>
      </c>
    </row>
    <row r="21" customFormat="false" ht="15" hidden="false" customHeight="false" outlineLevel="0" collapsed="false">
      <c r="A21" s="2" t="s">
        <v>86</v>
      </c>
      <c r="B21" s="2" t="s">
        <v>87</v>
      </c>
      <c r="C21" s="2" t="s">
        <v>41</v>
      </c>
      <c r="D21" s="2" t="s">
        <v>41</v>
      </c>
      <c r="E21" s="2" t="s">
        <v>88</v>
      </c>
      <c r="F21" s="3" t="n">
        <v>7.94</v>
      </c>
      <c r="G21" s="4" t="n">
        <v>0.06</v>
      </c>
      <c r="H21" s="5" t="n">
        <f aca="false">IFERROR(F21-I21,0)</f>
        <v>0.449433962264151</v>
      </c>
      <c r="I21" s="5" t="n">
        <f aca="false">IFERROR(F21/(1+G21),0)</f>
        <v>7.49056603773585</v>
      </c>
      <c r="J21" s="6" t="n">
        <v>0</v>
      </c>
      <c r="K21" s="7" t="n">
        <v>0.5</v>
      </c>
      <c r="L21" s="8" t="n">
        <f aca="false">1-J21-K21</f>
        <v>0.5</v>
      </c>
      <c r="M21" s="9" t="n">
        <f aca="false">IFERROR(F21*J21,0)</f>
        <v>0</v>
      </c>
      <c r="N21" s="10" t="n">
        <f aca="false">IFERROR(F21*K21,0)</f>
        <v>3.97</v>
      </c>
      <c r="O21" s="11" t="n">
        <f aca="false">IFERROR(F21*L21,0)</f>
        <v>3.97</v>
      </c>
      <c r="P21" s="17" t="s">
        <v>43</v>
      </c>
      <c r="Q21" s="2" t="s">
        <v>44</v>
      </c>
      <c r="R21" s="13" t="s">
        <v>89</v>
      </c>
    </row>
    <row r="22" customFormat="false" ht="15" hidden="false" customHeight="false" outlineLevel="0" collapsed="false">
      <c r="A22" s="2" t="s">
        <v>86</v>
      </c>
      <c r="B22" s="2" t="s">
        <v>90</v>
      </c>
      <c r="C22" s="2" t="s">
        <v>41</v>
      </c>
      <c r="D22" s="2" t="s">
        <v>41</v>
      </c>
      <c r="E22" s="2" t="s">
        <v>36</v>
      </c>
      <c r="F22" s="3" t="n">
        <v>7.93</v>
      </c>
      <c r="G22" s="4" t="n">
        <v>0.06</v>
      </c>
      <c r="H22" s="5" t="n">
        <f aca="false">IFERROR(F22-I22,0)</f>
        <v>0.448867924528302</v>
      </c>
      <c r="I22" s="5" t="n">
        <f aca="false">IFERROR(F22/(1+G22),0)</f>
        <v>7.4811320754717</v>
      </c>
      <c r="J22" s="6" t="n">
        <v>0</v>
      </c>
      <c r="K22" s="7" t="n">
        <v>0.5</v>
      </c>
      <c r="L22" s="8" t="n">
        <f aca="false">1-J22-K22</f>
        <v>0.5</v>
      </c>
      <c r="M22" s="9" t="n">
        <f aca="false">IFERROR(F22*J22,0)</f>
        <v>0</v>
      </c>
      <c r="N22" s="10" t="n">
        <f aca="false">IFERROR(F22*K22,0)</f>
        <v>3.965</v>
      </c>
      <c r="O22" s="11" t="n">
        <f aca="false">IFERROR(F22*L22,0)</f>
        <v>3.965</v>
      </c>
      <c r="P22" s="17" t="s">
        <v>43</v>
      </c>
      <c r="Q22" s="2" t="s">
        <v>44</v>
      </c>
      <c r="R22" s="13" t="s">
        <v>91</v>
      </c>
    </row>
    <row r="23" customFormat="false" ht="15" hidden="false" customHeight="false" outlineLevel="0" collapsed="false">
      <c r="A23" s="2" t="s">
        <v>86</v>
      </c>
      <c r="B23" s="2" t="s">
        <v>92</v>
      </c>
      <c r="C23" s="2" t="s">
        <v>41</v>
      </c>
      <c r="D23" s="2" t="s">
        <v>41</v>
      </c>
      <c r="E23" s="2" t="s">
        <v>93</v>
      </c>
      <c r="F23" s="3" t="n">
        <v>5.13</v>
      </c>
      <c r="G23" s="4" t="n">
        <v>0.06</v>
      </c>
      <c r="H23" s="5" t="n">
        <f aca="false">IFERROR(F23-I23,0)</f>
        <v>0.290377358490566</v>
      </c>
      <c r="I23" s="5" t="n">
        <f aca="false">IFERROR(F23/(1+G23),0)</f>
        <v>4.83962264150943</v>
      </c>
      <c r="J23" s="6" t="n">
        <v>0</v>
      </c>
      <c r="K23" s="7" t="n">
        <v>0.5</v>
      </c>
      <c r="L23" s="8" t="n">
        <f aca="false">1-J23-K23</f>
        <v>0.5</v>
      </c>
      <c r="M23" s="9" t="n">
        <f aca="false">IFERROR(F23*J23,0)</f>
        <v>0</v>
      </c>
      <c r="N23" s="10" t="n">
        <f aca="false">IFERROR(F23*K23,0)</f>
        <v>2.565</v>
      </c>
      <c r="O23" s="11" t="n">
        <f aca="false">IFERROR(F23*L23,0)</f>
        <v>2.565</v>
      </c>
      <c r="P23" s="17" t="s">
        <v>43</v>
      </c>
      <c r="Q23" s="2" t="s">
        <v>44</v>
      </c>
      <c r="R23" s="13" t="s">
        <v>94</v>
      </c>
    </row>
    <row r="24" customFormat="false" ht="15" hidden="false" customHeight="false" outlineLevel="0" collapsed="false">
      <c r="A24" s="2" t="s">
        <v>26</v>
      </c>
      <c r="B24" s="2" t="s">
        <v>95</v>
      </c>
      <c r="C24" s="2" t="s">
        <v>41</v>
      </c>
      <c r="D24" s="2" t="s">
        <v>41</v>
      </c>
      <c r="E24" s="2" t="s">
        <v>36</v>
      </c>
      <c r="F24" s="3" t="n">
        <v>8.94</v>
      </c>
      <c r="G24" s="4" t="n">
        <v>0.06</v>
      </c>
      <c r="H24" s="5" t="n">
        <f aca="false">IFERROR(F24-I24,0)</f>
        <v>0.506037735849057</v>
      </c>
      <c r="I24" s="5" t="n">
        <f aca="false">IFERROR(F24/(1+G24),0)</f>
        <v>8.43396226415094</v>
      </c>
      <c r="J24" s="6" t="n">
        <v>0</v>
      </c>
      <c r="K24" s="7" t="n">
        <v>0.5</v>
      </c>
      <c r="L24" s="8" t="n">
        <f aca="false">1-J24-K24</f>
        <v>0.5</v>
      </c>
      <c r="M24" s="9" t="n">
        <f aca="false">IFERROR(F24*J24,0)</f>
        <v>0</v>
      </c>
      <c r="N24" s="10" t="n">
        <f aca="false">IFERROR(F24*K24,0)</f>
        <v>4.47</v>
      </c>
      <c r="O24" s="11" t="n">
        <f aca="false">IFERROR(F24*L24,0)</f>
        <v>4.47</v>
      </c>
      <c r="P24" s="17" t="s">
        <v>43</v>
      </c>
      <c r="Q24" s="2" t="s">
        <v>44</v>
      </c>
      <c r="R24" s="13" t="s">
        <v>96</v>
      </c>
    </row>
    <row r="25" customFormat="false" ht="15" hidden="false" customHeight="false" outlineLevel="0" collapsed="false">
      <c r="A25" s="2" t="s">
        <v>26</v>
      </c>
      <c r="B25" s="2" t="s">
        <v>97</v>
      </c>
      <c r="C25" s="2" t="s">
        <v>41</v>
      </c>
      <c r="D25" s="2" t="s">
        <v>41</v>
      </c>
      <c r="E25" s="2" t="s">
        <v>98</v>
      </c>
      <c r="F25" s="3" t="n">
        <v>8.95</v>
      </c>
      <c r="G25" s="4" t="n">
        <v>0.06</v>
      </c>
      <c r="H25" s="5" t="n">
        <f aca="false">IFERROR(F25-I25,0)</f>
        <v>0.506603773584907</v>
      </c>
      <c r="I25" s="5" t="n">
        <f aca="false">IFERROR(F25/(1+G25),0)</f>
        <v>8.44339622641509</v>
      </c>
      <c r="J25" s="6" t="n">
        <v>1</v>
      </c>
      <c r="K25" s="7" t="n">
        <v>0</v>
      </c>
      <c r="L25" s="8" t="n">
        <f aca="false">1-J25-K25</f>
        <v>0</v>
      </c>
      <c r="M25" s="9" t="n">
        <f aca="false">IFERROR(F25*J25,0)</f>
        <v>8.95</v>
      </c>
      <c r="N25" s="10" t="n">
        <f aca="false">IFERROR(F25*K25,0)</f>
        <v>0</v>
      </c>
      <c r="O25" s="11" t="n">
        <f aca="false">IFERROR(F25*L25,0)</f>
        <v>0</v>
      </c>
      <c r="P25" s="17" t="s">
        <v>43</v>
      </c>
      <c r="Q25" s="2" t="s">
        <v>99</v>
      </c>
      <c r="R25" s="13" t="s">
        <v>100</v>
      </c>
    </row>
    <row r="27" customFormat="false" ht="15" hidden="false" customHeight="false" outlineLevel="0" collapsed="false">
      <c r="D27" s="18" t="s">
        <v>101</v>
      </c>
      <c r="F27" s="19" t="n">
        <f aca="false">SUM(F2:F25)</f>
        <v>1262.79</v>
      </c>
      <c r="H27" s="19" t="n">
        <f aca="false">SUM(H2:H25)</f>
        <v>12.9549056603774</v>
      </c>
      <c r="I27" s="19" t="n">
        <f aca="false">SUM(I2:I25)</f>
        <v>1249.83509433962</v>
      </c>
      <c r="M27" s="19" t="n">
        <f aca="false">SUM(M2:M25)</f>
        <v>1161.38</v>
      </c>
      <c r="N27" s="19" t="n">
        <f aca="false">SUM(N2:N25)</f>
        <v>50.705</v>
      </c>
      <c r="O27" s="19" t="n">
        <f aca="false">SUM(O2:O25)</f>
        <v>50.705</v>
      </c>
    </row>
    <row r="29" customFormat="false" ht="15" hidden="false" customHeight="false" outlineLevel="0" collapsed="false">
      <c r="D29" s="18" t="s">
        <v>102</v>
      </c>
    </row>
    <row r="30" customFormat="false" ht="15" hidden="false" customHeight="false" outlineLevel="0" collapsed="false">
      <c r="D30" s="2" t="s">
        <v>23</v>
      </c>
      <c r="F30" s="20" t="n">
        <f aca="false">SUMIF(P2:P25,"Nempo",F2:F25)</f>
        <v>97.6</v>
      </c>
    </row>
    <row r="31" customFormat="false" ht="15" hidden="false" customHeight="false" outlineLevel="0" collapsed="false">
      <c r="D31" s="2" t="s">
        <v>32</v>
      </c>
      <c r="F31" s="21" t="n">
        <f aca="false">SUMIF(P2:P25,"BOEMM",F2:F25)</f>
        <v>1033.92</v>
      </c>
    </row>
    <row r="32" customFormat="false" ht="15" hidden="false" customHeight="false" outlineLevel="0" collapsed="false">
      <c r="D32" s="2" t="s">
        <v>43</v>
      </c>
      <c r="F32" s="22" t="n">
        <f aca="false">SUMIF(P2:P25,"Privé",F2:F25)</f>
        <v>131.27</v>
      </c>
    </row>
    <row r="34" customFormat="false" ht="15" hidden="false" customHeight="false" outlineLevel="0" collapsed="false">
      <c r="D34" s="18" t="s">
        <v>103</v>
      </c>
    </row>
    <row r="35" customFormat="false" ht="15" hidden="false" customHeight="false" outlineLevel="0" collapsed="false">
      <c r="D35" s="2" t="s">
        <v>104</v>
      </c>
      <c r="F35" s="19" t="n">
        <f aca="false">SUMIF(P2:P25,"Privé",M2:M25)</f>
        <v>29.86</v>
      </c>
    </row>
    <row r="36" customFormat="false" ht="15" hidden="false" customHeight="false" outlineLevel="0" collapsed="false">
      <c r="D36" s="2" t="s">
        <v>105</v>
      </c>
      <c r="F36" s="19" t="n">
        <f aca="false">SUMIF(P2:P25,"Nempo",M2:M25)</f>
        <v>97.6</v>
      </c>
    </row>
    <row r="37" customFormat="false" ht="15" hidden="false" customHeight="false" outlineLevel="0" collapsed="false">
      <c r="D37" s="2" t="s">
        <v>106</v>
      </c>
      <c r="F37" s="19" t="n">
        <f aca="false">SUMIF(P2:P25,"BOEMM",N2:N25)</f>
        <v>0</v>
      </c>
    </row>
    <row r="38" customFormat="false" ht="15" hidden="false" customHeight="false" outlineLevel="0" collapsed="false">
      <c r="D38" s="2" t="s">
        <v>107</v>
      </c>
      <c r="F38" s="19" t="n">
        <f aca="false">SUMIF(P2:P25,"Nempo",N2:N25)</f>
        <v>0</v>
      </c>
    </row>
    <row r="39" customFormat="false" ht="15" hidden="false" customHeight="false" outlineLevel="0" collapsed="false">
      <c r="D39" s="2" t="s">
        <v>108</v>
      </c>
      <c r="F39" s="19" t="n">
        <f aca="false">SUMIF(P2:P25,"Privé",N2:N25)</f>
        <v>50.705</v>
      </c>
    </row>
    <row r="41" customFormat="false" ht="15" hidden="false" customHeight="false" outlineLevel="0" collapsed="false">
      <c r="A41" s="23" t="s">
        <v>109</v>
      </c>
    </row>
    <row r="42" customFormat="false" ht="15" hidden="false" customHeight="false" outlineLevel="0" collapsed="false">
      <c r="A42" s="24" t="s">
        <v>110</v>
      </c>
    </row>
    <row r="43" customFormat="false" ht="15" hidden="false" customHeight="false" outlineLevel="0" collapsed="false">
      <c r="A43" s="24" t="s">
        <v>111</v>
      </c>
    </row>
    <row r="44" customFormat="false" ht="15" hidden="false" customHeight="false" outlineLevel="0" collapsed="false">
      <c r="A44" s="24" t="s">
        <v>112</v>
      </c>
    </row>
    <row r="45" customFormat="false" ht="15" hidden="false" customHeight="false" outlineLevel="0" collapsed="false">
      <c r="A45" s="24" t="s">
        <v>113</v>
      </c>
    </row>
    <row r="46" customFormat="false" ht="15" hidden="false" customHeight="false" outlineLevel="0" collapsed="false">
      <c r="A46" s="24" t="s">
        <v>114</v>
      </c>
    </row>
    <row r="47" customFormat="false" ht="15" hidden="false" customHeight="false" outlineLevel="0" collapsed="false">
      <c r="A47" s="24" t="s">
        <v>115</v>
      </c>
    </row>
    <row r="48" customFormat="false" ht="15" hidden="false" customHeight="false" outlineLevel="0" collapsed="false">
      <c r="A48" s="24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2026-05-19T10:02:54Z</dcterms:created>
  <dc:creator>openpyxl</dc:creator>
  <dc:description/>
  <dc:language>en-US</dc:language>
  <cp:lastModifiedBy/>
  <dcterms:modified xsi:type="dcterms:W3CDTF">2026-05-19T10:02:54Z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